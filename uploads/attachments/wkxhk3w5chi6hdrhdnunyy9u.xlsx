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%&quot;"/>
    <numFmt numFmtId="165" formatCode="0&quot; mo&quot;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b val="1"/>
    </font>
    <font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3" fontId="0" fillId="4" borderId="1" applyAlignment="1" pivotButton="0" quotePrefix="0" xfId="0">
      <alignment horizontal="left" vertical="center" wrapText="1"/>
    </xf>
    <xf numFmtId="164" fontId="0" fillId="4" borderId="1" applyAlignment="1" pivotButton="0" quotePrefix="0" xfId="0">
      <alignment horizontal="left" vertical="center" wrapText="1"/>
    </xf>
    <xf numFmtId="165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3" fontId="0" fillId="5" borderId="1" applyAlignment="1" pivotButton="0" quotePrefix="0" xfId="0">
      <alignment horizontal="left" vertical="center" wrapText="1"/>
    </xf>
    <xf numFmtId="164" fontId="0" fillId="5" borderId="1" applyAlignment="1" pivotButton="0" quotePrefix="0" xfId="0">
      <alignment horizontal="left" vertical="center" wrapText="1"/>
    </xf>
    <xf numFmtId="165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3" fontId="0" fillId="6" borderId="1" applyAlignment="1" pivotButton="0" quotePrefix="0" xfId="0">
      <alignment horizontal="left" vertical="center" wrapText="1"/>
    </xf>
    <xf numFmtId="164" fontId="0" fillId="6" borderId="1" applyAlignment="1" pivotButton="0" quotePrefix="0" xfId="0">
      <alignment horizontal="left" vertical="center" wrapText="1"/>
    </xf>
    <xf numFmtId="165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4" fillId="0" borderId="0" pivotButton="0" quotePrefix="0" xfId="0"/>
    <xf numFmtId="3" fontId="0" fillId="3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Investment by Segment (EUR)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'Segment Comparison'!B11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'Segment Comparison'!$A$12:$A$16</f>
            </numRef>
          </cat>
          <val>
            <numRef>
              <f>'Segment Comparison'!$B$12:$B$16</f>
            </numRef>
          </val>
        </ser>
        <ser>
          <idx val="1"/>
          <order val="1"/>
          <tx>
            <strRef>
              <f>'Segment Comparison'!C11</f>
            </strRef>
          </tx>
          <spPr>
            <a:ln xmlns:a="http://schemas.openxmlformats.org/drawingml/2006/main">
              <a:prstDash val="solid"/>
            </a:ln>
          </spPr>
          <cat>
            <numRef>
              <f>'Segment Comparison'!$A$12:$A$16</f>
            </numRef>
          </cat>
          <val>
            <numRef>
              <f>'Segment Comparison'!$C$12:$C$16</f>
            </numRef>
          </val>
        </ser>
        <ser>
          <idx val="2"/>
          <order val="2"/>
          <tx>
            <strRef>
              <f>'Segment Comparison'!D11</f>
            </strRef>
          </tx>
          <spPr>
            <a:ln xmlns:a="http://schemas.openxmlformats.org/drawingml/2006/main">
              <a:prstDash val="solid"/>
            </a:ln>
          </spPr>
          <cat>
            <numRef>
              <f>'Segment Comparison'!$A$12:$A$16</f>
            </numRef>
          </cat>
          <val>
            <numRef>
              <f>'Segment Comparison'!$D$12:$D$16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Segment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9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10" customWidth="1" min="5" max="5"/>
    <col width="18" customWidth="1" min="6" max="6"/>
    <col width="14" customWidth="1" min="7" max="7"/>
    <col width="22" customWidth="1" min="8" max="8"/>
    <col width="35" customWidth="1" min="9" max="9"/>
  </cols>
  <sheetData>
    <row r="1" ht="30" customHeight="1">
      <c r="A1" s="1" t="inlineStr">
        <is>
          <t>LUXURY STATUES ADRIA — SEGMENT COMPARISON: REVENUE vs INVESTMENT &amp; ROI</t>
        </is>
      </c>
    </row>
    <row r="3" ht="35" customHeight="1">
      <c r="A3" s="2" t="inlineStr">
        <is>
          <t>Segment</t>
        </is>
      </c>
      <c r="B3" s="2" t="inlineStr">
        <is>
          <t>Ann. Revenue Potential (EUR)</t>
        </is>
      </c>
      <c r="C3" s="2" t="inlineStr">
        <is>
          <t>Ann. Investment (EUR)</t>
        </is>
      </c>
      <c r="D3" s="2" t="inlineStr">
        <is>
          <t>Gross Profit (EUR)</t>
        </is>
      </c>
      <c r="E3" s="2" t="inlineStr">
        <is>
          <t>ROI %</t>
        </is>
      </c>
      <c r="F3" s="2" t="inlineStr">
        <is>
          <t>Payback Period (Months)</t>
        </is>
      </c>
      <c r="G3" s="2" t="inlineStr">
        <is>
          <t>Priority Rank</t>
        </is>
      </c>
      <c r="H3" s="2" t="inlineStr">
        <is>
          <t>Revenue-to-Invest Ratio</t>
        </is>
      </c>
      <c r="I3" s="2" t="inlineStr">
        <is>
          <t>Recommendation</t>
        </is>
      </c>
    </row>
    <row r="4" ht="30" customHeight="1">
      <c r="A4" s="3" t="inlineStr">
        <is>
          <t>UHNW Individual Collectors</t>
        </is>
      </c>
      <c r="B4" s="4" t="n">
        <v>1350000</v>
      </c>
      <c r="C4" s="4" t="n">
        <v>225500</v>
      </c>
      <c r="D4" s="4" t="n">
        <v>652250</v>
      </c>
      <c r="E4" s="5" t="inlineStr">
        <is>
          <t>289%</t>
        </is>
      </c>
      <c r="F4" s="6" t="n">
        <v>5</v>
      </c>
      <c r="G4" s="7" t="n">
        <v>1</v>
      </c>
      <c r="H4" s="7" t="inlineStr">
        <is>
          <t>6.0:1</t>
        </is>
      </c>
      <c r="I4" s="7" t="inlineStr">
        <is>
          <t>PRIORITY 1 — Highest ROI, fastest payback</t>
        </is>
      </c>
    </row>
    <row r="5" ht="30" customHeight="1">
      <c r="A5" s="3" t="inlineStr">
        <is>
          <t>Developers &amp; Hotel Chains</t>
        </is>
      </c>
      <c r="B5" s="4" t="n">
        <v>1000000</v>
      </c>
      <c r="C5" s="4" t="n">
        <v>158000</v>
      </c>
      <c r="D5" s="4" t="n">
        <v>492000</v>
      </c>
      <c r="E5" s="5" t="inlineStr">
        <is>
          <t>311%</t>
        </is>
      </c>
      <c r="F5" s="6" t="n">
        <v>5</v>
      </c>
      <c r="G5" s="7" t="n">
        <v>2</v>
      </c>
      <c r="H5" s="7" t="inlineStr">
        <is>
          <t>6.3:1</t>
        </is>
      </c>
      <c r="I5" s="7" t="inlineStr">
        <is>
          <t>PRIORITY 1 — High ROI, project volume</t>
        </is>
      </c>
    </row>
    <row r="6" ht="30" customHeight="1">
      <c r="A6" s="8" t="inlineStr">
        <is>
          <t>Interior Designers &amp; Architects</t>
        </is>
      </c>
      <c r="B6" s="9" t="n">
        <v>600000</v>
      </c>
      <c r="C6" s="9" t="n">
        <v>119800</v>
      </c>
      <c r="D6" s="9" t="n">
        <v>270200</v>
      </c>
      <c r="E6" s="10" t="inlineStr">
        <is>
          <t>226%</t>
        </is>
      </c>
      <c r="F6" s="11" t="n">
        <v>6</v>
      </c>
      <c r="G6" s="12" t="n">
        <v>3</v>
      </c>
      <c r="H6" s="12" t="inlineStr">
        <is>
          <t>5.0:1</t>
        </is>
      </c>
      <c r="I6" s="12" t="inlineStr">
        <is>
          <t>PRIORITY 2 — Strong ROI, volume potential</t>
        </is>
      </c>
    </row>
    <row r="7" ht="30" customHeight="1">
      <c r="A7" s="8" t="inlineStr">
        <is>
          <t>Corporate Art Programs</t>
        </is>
      </c>
      <c r="B7" s="9" t="n">
        <v>420000</v>
      </c>
      <c r="C7" s="9" t="n">
        <v>77500</v>
      </c>
      <c r="D7" s="9" t="n">
        <v>195500</v>
      </c>
      <c r="E7" s="10" t="inlineStr">
        <is>
          <t>252%</t>
        </is>
      </c>
      <c r="F7" s="11" t="n">
        <v>5</v>
      </c>
      <c r="G7" s="12" t="n">
        <v>4</v>
      </c>
      <c r="H7" s="12" t="inlineStr">
        <is>
          <t>5.4:1</t>
        </is>
      </c>
      <c r="I7" s="12" t="inlineStr">
        <is>
          <t>PRIORITY 2 — Stable budgets, professional sales</t>
        </is>
      </c>
    </row>
    <row r="8" ht="30" customHeight="1">
      <c r="A8" s="13" t="inlineStr">
        <is>
          <t>Galleries &amp; Dealers</t>
        </is>
      </c>
      <c r="B8" s="14" t="n">
        <v>337500</v>
      </c>
      <c r="C8" s="14" t="n">
        <v>89500</v>
      </c>
      <c r="D8" s="14" t="n">
        <v>130375</v>
      </c>
      <c r="E8" s="15" t="inlineStr">
        <is>
          <t>146%</t>
        </is>
      </c>
      <c r="F8" s="16" t="n">
        <v>7</v>
      </c>
      <c r="G8" s="17" t="n">
        <v>5</v>
      </c>
      <c r="H8" s="17" t="inlineStr">
        <is>
          <t>3.8:1</t>
        </is>
      </c>
      <c r="I8" s="17" t="inlineStr">
        <is>
          <t>PRIORITY 3 — Lower ROI but broadens distribution</t>
        </is>
      </c>
    </row>
    <row r="10">
      <c r="A10" s="18" t="inlineStr">
        <is>
          <t>CHART DATA — Revenue vs Investment by Segment (EUR)</t>
        </is>
      </c>
    </row>
    <row r="11">
      <c r="A11" s="2" t="inlineStr">
        <is>
          <t>Segment</t>
        </is>
      </c>
      <c r="B11" s="2" t="inlineStr">
        <is>
          <t>Annual Revenue (Realistic)</t>
        </is>
      </c>
      <c r="C11" s="2" t="inlineStr">
        <is>
          <t>Annual Investment</t>
        </is>
      </c>
      <c r="D11" s="2" t="inlineStr">
        <is>
          <t>Gross Profit</t>
        </is>
      </c>
    </row>
    <row r="12">
      <c r="A12" s="19" t="inlineStr">
        <is>
          <t>UHNW Individual</t>
        </is>
      </c>
      <c r="B12" s="19" t="n">
        <v>1350000</v>
      </c>
      <c r="C12" s="19" t="n">
        <v>225500</v>
      </c>
      <c r="D12" s="19" t="n">
        <v>652250</v>
      </c>
    </row>
    <row r="13">
      <c r="A13" s="20" t="inlineStr">
        <is>
          <t>Dev/Hotel</t>
        </is>
      </c>
      <c r="B13" s="20" t="n">
        <v>1000000</v>
      </c>
      <c r="C13" s="20" t="n">
        <v>158000</v>
      </c>
      <c r="D13" s="20" t="n">
        <v>492000</v>
      </c>
    </row>
    <row r="14">
      <c r="A14" s="19" t="inlineStr">
        <is>
          <t>Designer/Architect</t>
        </is>
      </c>
      <c r="B14" s="19" t="n">
        <v>600000</v>
      </c>
      <c r="C14" s="19" t="n">
        <v>119800</v>
      </c>
      <c r="D14" s="19" t="n">
        <v>270200</v>
      </c>
    </row>
    <row r="15">
      <c r="A15" s="20" t="inlineStr">
        <is>
          <t>Corporate</t>
        </is>
      </c>
      <c r="B15" s="20" t="n">
        <v>420000</v>
      </c>
      <c r="C15" s="20" t="n">
        <v>77500</v>
      </c>
      <c r="D15" s="20" t="n">
        <v>195500</v>
      </c>
    </row>
    <row r="16">
      <c r="A16" s="19" t="inlineStr">
        <is>
          <t>Galleries</t>
        </is>
      </c>
      <c r="B16" s="19" t="n">
        <v>337500</v>
      </c>
      <c r="C16" s="19" t="n">
        <v>89500</v>
      </c>
      <c r="D16" s="19" t="n">
        <v>130375</v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2026-04-08T13:03:56+00:00Z</dcterms:created>
  <dcterms:modified xmlns:dcterms="http://purl.org/dc/terms/" xmlns:xsi="http://www.w3.org/2001/XMLSchema-instance" xsi:type="dcterms:W3CDTF">2026-04-08T13:03:56+00:00Z</dcterms:modified>
</cp:coreProperties>
</file>